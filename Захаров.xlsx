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ИС-52\МДК 02.03 Математическое моделирование\"/>
    </mc:Choice>
  </mc:AlternateContent>
  <xr:revisionPtr revIDLastSave="0" documentId="8_{54C89F46-0B52-4BD0-BA0B-C48A228FA454}" xr6:coauthVersionLast="40" xr6:coauthVersionMax="40" xr10:uidLastSave="{00000000-0000-0000-0000-000000000000}"/>
  <bookViews>
    <workbookView xWindow="0" yWindow="0" windowWidth="28800" windowHeight="11925" activeTab="2" xr2:uid="{0A1D1A49-801A-441F-8E5F-7666D9E7B220}"/>
  </bookViews>
  <sheets>
    <sheet name="Лист1" sheetId="1" r:id="rId1"/>
    <sheet name="Отчет о допустимости 1" sheetId="3" r:id="rId2"/>
    <sheet name="Лист2" sheetId="2" r:id="rId3"/>
  </sheets>
  <definedNames>
    <definedName name="solver_adj" localSheetId="0" hidden="1">Лист1!$B$3:$E$3</definedName>
    <definedName name="solver_adj" localSheetId="2" hidden="1">Лист2!$B$3:$E$3,Лист2!$G$9:$G$11</definedName>
    <definedName name="solver_cvg" localSheetId="0" hidden="1">0.0001</definedName>
    <definedName name="solver_cvg" localSheetId="2" hidden="1">0.0001</definedName>
    <definedName name="solver_drv" localSheetId="0" hidden="1">2</definedName>
    <definedName name="solver_drv" localSheetId="2" hidden="1">1</definedName>
    <definedName name="solver_eng" localSheetId="0" hidden="1">2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Лист1!$B$3</definedName>
    <definedName name="solver_lhs1" localSheetId="2" hidden="1">Лист2!$B$3:$E$3</definedName>
    <definedName name="solver_lhs2" localSheetId="0" hidden="1">Лист1!$B$3</definedName>
    <definedName name="solver_lhs2" localSheetId="2" hidden="1">Лист2!$F$4</definedName>
    <definedName name="solver_lhs3" localSheetId="0" hidden="1">Лист1!$C$3</definedName>
    <definedName name="solver_lhs3" localSheetId="2" hidden="1">Лист2!$H$9:$H$11</definedName>
    <definedName name="solver_lhs4" localSheetId="0" hidden="1">Лист1!$D$3</definedName>
    <definedName name="solver_lhs5" localSheetId="0" hidden="1">Лист1!$F$10</definedName>
    <definedName name="solver_lhs6" localSheetId="0" hidden="1">Лист1!$F$11</definedName>
    <definedName name="solver_lhs7" localSheetId="0" hidden="1">Лист1!$F$9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7</definedName>
    <definedName name="solver_num" localSheetId="2" hidden="1">3</definedName>
    <definedName name="solver_nwt" localSheetId="0" hidden="1">1</definedName>
    <definedName name="solver_nwt" localSheetId="2" hidden="1">1</definedName>
    <definedName name="solver_opt" localSheetId="0" hidden="1">Лист1!$F$4</definedName>
    <definedName name="solver_opt" localSheetId="2" hidden="1">Лист2!$G$14</definedName>
    <definedName name="solver_pre" localSheetId="0" hidden="1">0.000001</definedName>
    <definedName name="solver_pre" localSheetId="2" hidden="1">0.000001</definedName>
    <definedName name="solver_rbv" localSheetId="0" hidden="1">2</definedName>
    <definedName name="solver_rbv" localSheetId="2" hidden="1">1</definedName>
    <definedName name="solver_rel1" localSheetId="0" hidden="1">1</definedName>
    <definedName name="solver_rel1" localSheetId="2" hidden="1">3</definedName>
    <definedName name="solver_rel2" localSheetId="0" hidden="1">3</definedName>
    <definedName name="solver_rel2" localSheetId="2" hidden="1">3</definedName>
    <definedName name="solver_rel3" localSheetId="0" hidden="1">1</definedName>
    <definedName name="solver_rel3" localSheetId="2" hidden="1">1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hs1" localSheetId="0" hidden="1">Лист1!$B$13</definedName>
    <definedName name="solver_rhs1" localSheetId="2" hidden="1">Лист2!$B$12:$E$12</definedName>
    <definedName name="solver_rhs2" localSheetId="0" hidden="1">Лист1!$B$12</definedName>
    <definedName name="solver_rhs2" localSheetId="2" hidden="1">2300</definedName>
    <definedName name="solver_rhs3" localSheetId="0" hidden="1">Лист1!$C$13</definedName>
    <definedName name="solver_rhs3" localSheetId="2" hidden="1">Лист2!$I$9:$I$11</definedName>
    <definedName name="solver_rhs4" localSheetId="0" hidden="1">Лист1!$D$12</definedName>
    <definedName name="solver_rhs5" localSheetId="0" hidden="1">Лист1!$G$10</definedName>
    <definedName name="solver_rhs6" localSheetId="0" hidden="1">Лист1!$G$11</definedName>
    <definedName name="solver_rhs7" localSheetId="0" hidden="1">Лист1!$G$9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2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1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2" l="1"/>
  <c r="F10" i="2"/>
  <c r="H10" i="2" s="1"/>
  <c r="F11" i="2"/>
  <c r="H11" i="2" s="1"/>
  <c r="F9" i="2"/>
  <c r="H9" i="2" s="1"/>
  <c r="F4" i="2"/>
  <c r="F10" i="1"/>
  <c r="F11" i="1"/>
  <c r="F9" i="1"/>
  <c r="F4" i="1"/>
</calcChain>
</file>

<file path=xl/sharedStrings.xml><?xml version="1.0" encoding="utf-8"?>
<sst xmlns="http://schemas.openxmlformats.org/spreadsheetml/2006/main" count="71" uniqueCount="49">
  <si>
    <t>объем выпускаемой продукции</t>
  </si>
  <si>
    <t>Прибыль от реализации продукции</t>
  </si>
  <si>
    <t>x1</t>
  </si>
  <si>
    <t>x2</t>
  </si>
  <si>
    <t>x3</t>
  </si>
  <si>
    <t>x4</t>
  </si>
  <si>
    <t>Прибыль (целевая функия)</t>
  </si>
  <si>
    <t>Ограниченная по ресурсам</t>
  </si>
  <si>
    <t>Запас ресурса</t>
  </si>
  <si>
    <t>Ресурсы</t>
  </si>
  <si>
    <t>Трудовые</t>
  </si>
  <si>
    <t>Материальные</t>
  </si>
  <si>
    <t>Финансовые</t>
  </si>
  <si>
    <t>Нижняя граница выпуска</t>
  </si>
  <si>
    <t>Верхняя граница выпуска</t>
  </si>
  <si>
    <t>A</t>
  </si>
  <si>
    <t>B</t>
  </si>
  <si>
    <t>C</t>
  </si>
  <si>
    <t>D</t>
  </si>
  <si>
    <t>Microsoft Excel 16.0 Отчет о допустимости</t>
  </si>
  <si>
    <t>Лист: [Книга1]Лист2</t>
  </si>
  <si>
    <t>Отчет создан: 12.01.2026 16:57:40</t>
  </si>
  <si>
    <t>Ограничения, препятствующие существованию допустимого решения задачи</t>
  </si>
  <si>
    <t>Ячейка</t>
  </si>
  <si>
    <t>Имя</t>
  </si>
  <si>
    <t>Значение ячейки</t>
  </si>
  <si>
    <t>Формула</t>
  </si>
  <si>
    <t>Состояние</t>
  </si>
  <si>
    <t>Допуск</t>
  </si>
  <si>
    <t>$F$10</t>
  </si>
  <si>
    <t>Материальные Ограниченная по ресурсам</t>
  </si>
  <si>
    <t>$F$10&lt;=$G$10</t>
  </si>
  <si>
    <t>Нарушены</t>
  </si>
  <si>
    <t>$B$3</t>
  </si>
  <si>
    <t>объем выпускаемой продукции x1</t>
  </si>
  <si>
    <t>$B$3&gt;=$B$12</t>
  </si>
  <si>
    <t>Привязка</t>
  </si>
  <si>
    <t>$C$3</t>
  </si>
  <si>
    <t>объем выпускаемой продукции x2</t>
  </si>
  <si>
    <t>$C$3&gt;=$C$12</t>
  </si>
  <si>
    <t>$D$3</t>
  </si>
  <si>
    <t>объем выпускаемой продукции x3</t>
  </si>
  <si>
    <t>$D$3&gt;=$D$12</t>
  </si>
  <si>
    <t>$E$3</t>
  </si>
  <si>
    <t>объем выпускаемой продукции x4</t>
  </si>
  <si>
    <t>$E$3&gt;=$E$12</t>
  </si>
  <si>
    <t>Дополнительные ресурсы</t>
  </si>
  <si>
    <t>Ограничения с учетом дополнительских ресурсов</t>
  </si>
  <si>
    <t>Сумарные дополнительные ресурсы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</si>
</sst>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52B6-C8B8-4D09-9FF1-A4CCE5ABCF2C}">
  <dimension ref="A1:G13"/>
  <sheetViews>
    <sheetView workbookViewId="0">
      <selection activeCell="G15" sqref="A1:G15"/>
    </sheetView>
  </sheetViews>
  <sheetFormatPr defaultRowHeight="15" x14ac:dyDescent="0.25"/>
  <cols>
    <col min="1" max="1" width="36" customWidth="1"/>
    <col min="2" max="2" width="18.28515625" customWidth="1"/>
    <col min="3" max="3" width="18.140625" customWidth="1"/>
    <col min="4" max="4" width="17.7109375" customWidth="1"/>
    <col min="5" max="5" width="19.7109375" customWidth="1"/>
    <col min="6" max="6" width="27.7109375" customWidth="1"/>
    <col min="7" max="7" width="16.42578125" customWidth="1"/>
  </cols>
  <sheetData>
    <row r="1" spans="1:7" ht="13.5" customHeight="1" x14ac:dyDescent="0.25"/>
    <row r="2" spans="1:7" ht="23.25" customHeight="1" x14ac:dyDescent="0.25">
      <c r="B2" s="1" t="s">
        <v>2</v>
      </c>
      <c r="C2" s="1" t="s">
        <v>3</v>
      </c>
      <c r="D2" s="1" t="s">
        <v>4</v>
      </c>
      <c r="E2" s="1" t="s">
        <v>5</v>
      </c>
    </row>
    <row r="3" spans="1:7" ht="36.75" customHeight="1" x14ac:dyDescent="0.25">
      <c r="A3" s="1" t="s">
        <v>0</v>
      </c>
      <c r="B3" s="3">
        <v>12</v>
      </c>
      <c r="C3" s="3">
        <v>25</v>
      </c>
      <c r="D3" s="3">
        <v>3</v>
      </c>
      <c r="E3" s="3">
        <v>154.25</v>
      </c>
      <c r="F3" s="2" t="s">
        <v>6</v>
      </c>
    </row>
    <row r="4" spans="1:7" ht="36" customHeight="1" x14ac:dyDescent="0.25">
      <c r="A4" s="1" t="s">
        <v>1</v>
      </c>
      <c r="B4" s="1">
        <v>8</v>
      </c>
      <c r="C4" s="1">
        <v>10</v>
      </c>
      <c r="D4" s="1">
        <v>7</v>
      </c>
      <c r="E4" s="1">
        <v>8</v>
      </c>
      <c r="F4" s="3">
        <f>SUMPRODUCT(B3:E3,B4:E4)</f>
        <v>1601</v>
      </c>
    </row>
    <row r="7" spans="1:7" ht="34.5" customHeight="1" x14ac:dyDescent="0.25">
      <c r="F7" s="2" t="s">
        <v>7</v>
      </c>
      <c r="G7" s="2" t="s">
        <v>8</v>
      </c>
    </row>
    <row r="8" spans="1:7" x14ac:dyDescent="0.25">
      <c r="A8" t="s">
        <v>9</v>
      </c>
      <c r="B8" s="1" t="s">
        <v>15</v>
      </c>
      <c r="C8" s="1" t="s">
        <v>16</v>
      </c>
      <c r="D8" s="1" t="s">
        <v>17</v>
      </c>
      <c r="E8" s="1" t="s">
        <v>18</v>
      </c>
      <c r="F8" s="1"/>
      <c r="G8" s="1"/>
    </row>
    <row r="9" spans="1:7" x14ac:dyDescent="0.25">
      <c r="A9" t="s">
        <v>10</v>
      </c>
      <c r="B9" s="1">
        <v>8</v>
      </c>
      <c r="C9" s="1">
        <v>3</v>
      </c>
      <c r="D9" s="1">
        <v>4</v>
      </c>
      <c r="E9" s="1">
        <v>4</v>
      </c>
      <c r="F9" s="3">
        <f>SUMPRODUCT($B$3:$E$3,B9:E9)</f>
        <v>800</v>
      </c>
      <c r="G9" s="1">
        <v>800</v>
      </c>
    </row>
    <row r="10" spans="1:7" x14ac:dyDescent="0.25">
      <c r="A10" t="s">
        <v>11</v>
      </c>
      <c r="B10" s="1">
        <v>7</v>
      </c>
      <c r="C10" s="1">
        <v>8</v>
      </c>
      <c r="D10" s="1">
        <v>12</v>
      </c>
      <c r="E10" s="1">
        <v>10</v>
      </c>
      <c r="F10" s="3">
        <f t="shared" ref="F10:F11" si="0">SUMPRODUCT($B$3:$E$3,B10:E10)</f>
        <v>1862.5</v>
      </c>
      <c r="G10" s="1">
        <v>2000</v>
      </c>
    </row>
    <row r="11" spans="1:7" x14ac:dyDescent="0.25">
      <c r="A11" t="s">
        <v>12</v>
      </c>
      <c r="B11" s="1">
        <v>15</v>
      </c>
      <c r="C11" s="1">
        <v>14</v>
      </c>
      <c r="D11" s="1">
        <v>13</v>
      </c>
      <c r="E11" s="1">
        <v>14</v>
      </c>
      <c r="F11" s="3">
        <f t="shared" si="0"/>
        <v>2728.5</v>
      </c>
      <c r="G11" s="1">
        <v>2900</v>
      </c>
    </row>
    <row r="12" spans="1:7" x14ac:dyDescent="0.25">
      <c r="A12" t="s">
        <v>13</v>
      </c>
      <c r="B12" s="1">
        <v>12</v>
      </c>
      <c r="C12" s="1"/>
      <c r="D12" s="1">
        <v>3</v>
      </c>
      <c r="E12" s="1"/>
      <c r="F12" s="1"/>
      <c r="G12" s="1"/>
    </row>
    <row r="13" spans="1:7" x14ac:dyDescent="0.25">
      <c r="A13" t="s">
        <v>14</v>
      </c>
      <c r="B13" s="1">
        <v>30</v>
      </c>
      <c r="C13" s="1">
        <v>25</v>
      </c>
      <c r="D13" s="1"/>
      <c r="E13" s="1"/>
      <c r="F13" s="1"/>
      <c r="G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487D-916E-48F2-94FF-FF5468CD54F3}">
  <dimension ref="A1:G12"/>
  <sheetViews>
    <sheetView showGridLines="0" workbookViewId="0"/>
  </sheetViews>
  <sheetFormatPr defaultRowHeight="15" x14ac:dyDescent="0.25"/>
  <cols>
    <col min="1" max="1" width="2.28515625" customWidth="1"/>
    <col min="2" max="2" width="7.5703125" bestFit="1" customWidth="1"/>
    <col min="3" max="3" width="41" bestFit="1" customWidth="1"/>
    <col min="4" max="4" width="16.7109375" bestFit="1" customWidth="1"/>
    <col min="5" max="5" width="13.42578125" bestFit="1" customWidth="1"/>
    <col min="6" max="6" width="10.7109375" bestFit="1" customWidth="1"/>
    <col min="7" max="7" width="7.5703125" bestFit="1" customWidth="1"/>
  </cols>
  <sheetData>
    <row r="1" spans="1:7" x14ac:dyDescent="0.25">
      <c r="A1" s="4" t="s">
        <v>19</v>
      </c>
    </row>
    <row r="2" spans="1:7" x14ac:dyDescent="0.25">
      <c r="A2" s="4" t="s">
        <v>20</v>
      </c>
    </row>
    <row r="3" spans="1:7" x14ac:dyDescent="0.25">
      <c r="A3" s="4" t="s">
        <v>21</v>
      </c>
    </row>
    <row r="6" spans="1:7" ht="15.75" thickBot="1" x14ac:dyDescent="0.3">
      <c r="A6" t="s">
        <v>22</v>
      </c>
    </row>
    <row r="7" spans="1:7" ht="15.75" thickBot="1" x14ac:dyDescent="0.3"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</row>
    <row r="8" spans="1:7" x14ac:dyDescent="0.25">
      <c r="B8" t="s">
        <v>29</v>
      </c>
      <c r="C8" t="s">
        <v>30</v>
      </c>
      <c r="D8" s="6">
        <v>2028</v>
      </c>
      <c r="E8" t="s">
        <v>31</v>
      </c>
      <c r="F8" t="s">
        <v>32</v>
      </c>
      <c r="G8">
        <v>-27.999999999999773</v>
      </c>
    </row>
    <row r="9" spans="1:7" x14ac:dyDescent="0.25">
      <c r="B9" t="s">
        <v>33</v>
      </c>
      <c r="C9" t="s">
        <v>34</v>
      </c>
      <c r="D9" s="6">
        <v>10</v>
      </c>
      <c r="E9" t="s">
        <v>35</v>
      </c>
      <c r="F9" t="s">
        <v>36</v>
      </c>
      <c r="G9">
        <v>0</v>
      </c>
    </row>
    <row r="10" spans="1:7" x14ac:dyDescent="0.25">
      <c r="B10" t="s">
        <v>37</v>
      </c>
      <c r="C10" t="s">
        <v>38</v>
      </c>
      <c r="D10" s="6">
        <v>3</v>
      </c>
      <c r="E10" t="s">
        <v>39</v>
      </c>
      <c r="F10" t="s">
        <v>36</v>
      </c>
      <c r="G10">
        <v>0</v>
      </c>
    </row>
    <row r="11" spans="1:7" x14ac:dyDescent="0.25">
      <c r="B11" t="s">
        <v>40</v>
      </c>
      <c r="C11" t="s">
        <v>41</v>
      </c>
      <c r="D11" s="6">
        <v>7</v>
      </c>
      <c r="E11" t="s">
        <v>42</v>
      </c>
      <c r="F11" t="s">
        <v>36</v>
      </c>
      <c r="G11">
        <v>0</v>
      </c>
    </row>
    <row r="12" spans="1:7" x14ac:dyDescent="0.25">
      <c r="B12" t="s">
        <v>43</v>
      </c>
      <c r="C12" t="s">
        <v>44</v>
      </c>
      <c r="D12" s="6">
        <v>185</v>
      </c>
      <c r="E12" t="s">
        <v>45</v>
      </c>
      <c r="F12" t="s">
        <v>36</v>
      </c>
      <c r="G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7B31-59DF-4DC2-A848-E51D807BA888}">
  <dimension ref="A2:I14"/>
  <sheetViews>
    <sheetView tabSelected="1" workbookViewId="0">
      <selection activeCell="I21" sqref="I21"/>
    </sheetView>
  </sheetViews>
  <sheetFormatPr defaultRowHeight="15" x14ac:dyDescent="0.25"/>
  <cols>
    <col min="1" max="1" width="33" customWidth="1"/>
    <col min="2" max="2" width="12" customWidth="1"/>
    <col min="3" max="3" width="11.28515625" customWidth="1"/>
    <col min="4" max="4" width="12.42578125" customWidth="1"/>
    <col min="5" max="5" width="14.140625" customWidth="1"/>
    <col min="6" max="6" width="31.5703125" customWidth="1"/>
    <col min="7" max="7" width="22.5703125" customWidth="1"/>
    <col min="8" max="8" width="16.5703125" customWidth="1"/>
    <col min="9" max="9" width="17.42578125" customWidth="1"/>
  </cols>
  <sheetData>
    <row r="2" spans="1:9" x14ac:dyDescent="0.25">
      <c r="B2" s="1" t="s">
        <v>2</v>
      </c>
      <c r="C2" s="1" t="s">
        <v>3</v>
      </c>
      <c r="D2" s="1" t="s">
        <v>4</v>
      </c>
      <c r="E2" s="1" t="s">
        <v>5</v>
      </c>
    </row>
    <row r="3" spans="1:9" x14ac:dyDescent="0.25">
      <c r="A3" s="1" t="s">
        <v>0</v>
      </c>
      <c r="B3" s="3">
        <v>10</v>
      </c>
      <c r="C3" s="3">
        <v>3</v>
      </c>
      <c r="D3" s="3">
        <v>7</v>
      </c>
      <c r="E3" s="3">
        <v>185</v>
      </c>
      <c r="F3" s="2" t="s">
        <v>6</v>
      </c>
    </row>
    <row r="4" spans="1:9" x14ac:dyDescent="0.25">
      <c r="A4" s="1" t="s">
        <v>1</v>
      </c>
      <c r="B4" s="1">
        <v>8</v>
      </c>
      <c r="C4" s="1">
        <v>10</v>
      </c>
      <c r="D4" s="1">
        <v>7</v>
      </c>
      <c r="E4" s="1">
        <v>12</v>
      </c>
      <c r="F4" s="3">
        <f>SUMPRODUCT(B3:E3,B4:E4)</f>
        <v>2379</v>
      </c>
    </row>
    <row r="7" spans="1:9" ht="34.5" customHeight="1" x14ac:dyDescent="0.25">
      <c r="F7" s="2" t="s">
        <v>7</v>
      </c>
      <c r="G7" s="1" t="s">
        <v>46</v>
      </c>
      <c r="H7" s="1" t="s">
        <v>47</v>
      </c>
      <c r="I7" s="2" t="s">
        <v>8</v>
      </c>
    </row>
    <row r="8" spans="1:9" x14ac:dyDescent="0.25">
      <c r="A8" t="s">
        <v>9</v>
      </c>
      <c r="B8" s="1" t="s">
        <v>15</v>
      </c>
      <c r="C8" s="1" t="s">
        <v>16</v>
      </c>
      <c r="D8" s="1" t="s">
        <v>17</v>
      </c>
      <c r="E8" s="1" t="s">
        <v>18</v>
      </c>
      <c r="F8" s="1"/>
      <c r="I8" s="1"/>
    </row>
    <row r="9" spans="1:9" x14ac:dyDescent="0.25">
      <c r="A9" t="s">
        <v>10</v>
      </c>
      <c r="B9" s="1">
        <v>8</v>
      </c>
      <c r="C9" s="1">
        <v>3</v>
      </c>
      <c r="D9" s="1">
        <v>4</v>
      </c>
      <c r="E9" s="1">
        <v>2</v>
      </c>
      <c r="F9" s="3">
        <f>SUMPRODUCT($B$3:$E$3,B9:E9)</f>
        <v>487</v>
      </c>
      <c r="G9">
        <v>0</v>
      </c>
      <c r="H9">
        <f>F9-G9</f>
        <v>487</v>
      </c>
      <c r="I9" s="1">
        <v>800</v>
      </c>
    </row>
    <row r="10" spans="1:9" x14ac:dyDescent="0.25">
      <c r="A10" t="s">
        <v>11</v>
      </c>
      <c r="B10" s="1">
        <v>7</v>
      </c>
      <c r="C10" s="1">
        <v>8</v>
      </c>
      <c r="D10" s="1">
        <v>12</v>
      </c>
      <c r="E10" s="1">
        <v>10</v>
      </c>
      <c r="F10" s="3">
        <f t="shared" ref="F10:F11" si="0">SUMPRODUCT($B$3:$E$3,B10:E10)</f>
        <v>2028</v>
      </c>
      <c r="G10">
        <v>27.999999999999797</v>
      </c>
      <c r="H10">
        <f t="shared" ref="H10:H11" si="1">F10-G10</f>
        <v>2000.0000000000002</v>
      </c>
      <c r="I10" s="1">
        <v>2000</v>
      </c>
    </row>
    <row r="11" spans="1:9" x14ac:dyDescent="0.25">
      <c r="A11" t="s">
        <v>12</v>
      </c>
      <c r="B11" s="1">
        <v>15</v>
      </c>
      <c r="C11" s="1">
        <v>14</v>
      </c>
      <c r="D11" s="1">
        <v>13</v>
      </c>
      <c r="E11" s="1">
        <v>12</v>
      </c>
      <c r="F11" s="3">
        <f t="shared" si="0"/>
        <v>2503</v>
      </c>
      <c r="G11">
        <v>0</v>
      </c>
      <c r="H11">
        <f t="shared" si="1"/>
        <v>2503</v>
      </c>
      <c r="I11" s="1">
        <v>2900</v>
      </c>
    </row>
    <row r="12" spans="1:9" x14ac:dyDescent="0.25">
      <c r="A12" t="s">
        <v>13</v>
      </c>
      <c r="B12" s="1">
        <v>10</v>
      </c>
      <c r="C12" s="1">
        <v>3</v>
      </c>
      <c r="D12" s="1">
        <v>7</v>
      </c>
      <c r="E12" s="1">
        <v>185</v>
      </c>
      <c r="F12" s="1"/>
    </row>
    <row r="13" spans="1:9" x14ac:dyDescent="0.25">
      <c r="A13" t="s">
        <v>14</v>
      </c>
      <c r="B13" s="1"/>
      <c r="C13" s="1"/>
      <c r="D13" s="1"/>
      <c r="E13" s="1"/>
      <c r="F13" s="1"/>
      <c r="G13" s="1" t="s">
        <v>48</v>
      </c>
    </row>
    <row r="14" spans="1:9" x14ac:dyDescent="0.25">
      <c r="G14" s="1">
        <f>SUM(G9:G11)</f>
        <v>27.999999999999797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Отчет о допустимости 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</dc:creator>
  <cp:lastModifiedBy>inet</cp:lastModifiedBy>
  <dcterms:created xsi:type="dcterms:W3CDTF">2026-01-12T08:43:18Z</dcterms:created>
  <dcterms:modified xsi:type="dcterms:W3CDTF">2026-01-12T10:30:28Z</dcterms:modified>
</cp:coreProperties>
</file>